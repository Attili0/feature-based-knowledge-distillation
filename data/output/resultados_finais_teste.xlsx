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fae\OneDrive\Documentos\projetos\Projeto de mo434\data\output\"/>
    </mc:Choice>
  </mc:AlternateContent>
  <xr:revisionPtr revIDLastSave="0" documentId="13_ncr:1_{F18FC2C2-8DA7-478F-A08A-73D6471EF4F3}" xr6:coauthVersionLast="47" xr6:coauthVersionMax="47" xr10:uidLastSave="{00000000-0000-0000-0000-000000000000}"/>
  <bookViews>
    <workbookView xWindow="1545" yWindow="1920" windowWidth="13200" windowHeight="11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Q11" i="1"/>
  <c r="Q10" i="1"/>
  <c r="Q9" i="1"/>
  <c r="Q8" i="1"/>
  <c r="Q7" i="1"/>
  <c r="Q6" i="1"/>
  <c r="Q5" i="1"/>
  <c r="Q4" i="1"/>
  <c r="Q3" i="1"/>
  <c r="P12" i="1"/>
  <c r="P11" i="1"/>
  <c r="P10" i="1"/>
  <c r="P9" i="1"/>
  <c r="P8" i="1"/>
  <c r="P7" i="1"/>
  <c r="P6" i="1"/>
  <c r="P5" i="1"/>
  <c r="P4" i="1"/>
  <c r="P3" i="1"/>
  <c r="O12" i="1"/>
  <c r="O11" i="1"/>
  <c r="O10" i="1"/>
  <c r="O9" i="1"/>
  <c r="O8" i="1"/>
  <c r="O7" i="1"/>
  <c r="O6" i="1"/>
  <c r="O5" i="1"/>
  <c r="O4" i="1"/>
  <c r="O3" i="1"/>
  <c r="N12" i="1"/>
  <c r="N11" i="1"/>
  <c r="N10" i="1"/>
  <c r="N9" i="1"/>
  <c r="N8" i="1"/>
  <c r="N7" i="1"/>
  <c r="N6" i="1"/>
  <c r="N5" i="1"/>
  <c r="N4" i="1"/>
  <c r="N3" i="1"/>
  <c r="K22" i="1"/>
  <c r="J22" i="1"/>
  <c r="J21" i="1"/>
  <c r="K20" i="1"/>
  <c r="J20" i="1"/>
  <c r="J19" i="1"/>
  <c r="K18" i="1"/>
  <c r="J18" i="1"/>
  <c r="J17" i="1"/>
  <c r="K16" i="1"/>
  <c r="J16" i="1"/>
  <c r="J15" i="1"/>
  <c r="K14" i="1"/>
  <c r="J14" i="1"/>
  <c r="J13" i="1"/>
  <c r="K12" i="1"/>
  <c r="J12" i="1"/>
  <c r="J11" i="1"/>
  <c r="K10" i="1"/>
  <c r="J10" i="1"/>
  <c r="J9" i="1"/>
  <c r="K8" i="1"/>
  <c r="J8" i="1"/>
  <c r="J7" i="1"/>
  <c r="K6" i="1"/>
  <c r="J6" i="1"/>
  <c r="J5" i="1"/>
  <c r="K4" i="1"/>
  <c r="J4" i="1"/>
  <c r="J3" i="1"/>
  <c r="I22" i="1"/>
  <c r="H22" i="1"/>
  <c r="H21" i="1"/>
  <c r="I20" i="1"/>
  <c r="H20" i="1"/>
  <c r="H19" i="1"/>
  <c r="I18" i="1"/>
  <c r="H18" i="1"/>
  <c r="H17" i="1"/>
  <c r="I16" i="1"/>
  <c r="H16" i="1"/>
  <c r="H15" i="1"/>
  <c r="I14" i="1"/>
  <c r="H14" i="1"/>
  <c r="H13" i="1"/>
  <c r="I12" i="1"/>
  <c r="H12" i="1"/>
  <c r="H11" i="1"/>
  <c r="I10" i="1"/>
  <c r="H10" i="1"/>
  <c r="H9" i="1"/>
  <c r="I8" i="1"/>
  <c r="H8" i="1"/>
  <c r="H7" i="1"/>
  <c r="I6" i="1"/>
  <c r="H6" i="1"/>
  <c r="H5" i="1"/>
  <c r="H3" i="1"/>
  <c r="I4" i="1"/>
  <c r="H4" i="1"/>
</calcChain>
</file>

<file path=xl/sharedStrings.xml><?xml version="1.0" encoding="utf-8"?>
<sst xmlns="http://schemas.openxmlformats.org/spreadsheetml/2006/main" count="279" uniqueCount="28">
  <si>
    <t>Dataset</t>
  </si>
  <si>
    <t>Teacher</t>
  </si>
  <si>
    <t>Student_Arch</t>
  </si>
  <si>
    <t>Role</t>
  </si>
  <si>
    <t>Test_Accuracy</t>
  </si>
  <si>
    <t>cifar100</t>
  </si>
  <si>
    <t>ConvNeXt-Base</t>
  </si>
  <si>
    <t>-</t>
  </si>
  <si>
    <t>mobilenet_v2</t>
  </si>
  <si>
    <t>Student</t>
  </si>
  <si>
    <t>shufflenet_v2</t>
  </si>
  <si>
    <t>ConvNeXt-Large</t>
  </si>
  <si>
    <t>ConvNeXt-Small</t>
  </si>
  <si>
    <t>ConvNeXt-Tiny</t>
  </si>
  <si>
    <t>ResNet-101</t>
  </si>
  <si>
    <t>ResNet-18</t>
  </si>
  <si>
    <t>ResNet-50</t>
  </si>
  <si>
    <t>VGG-11-BN</t>
  </si>
  <si>
    <t>VGG-16-BN</t>
  </si>
  <si>
    <t>VGG-19-BN</t>
  </si>
  <si>
    <t>intel_scenes</t>
  </si>
  <si>
    <t>Modelo professor</t>
  </si>
  <si>
    <t>Acc do professor (cifar 100)</t>
  </si>
  <si>
    <t>Acc do professor (intel scenes)</t>
  </si>
  <si>
    <t>Acc mobilenet/Acc prof</t>
  </si>
  <si>
    <t>Acc shufflenet/Acc prof</t>
  </si>
  <si>
    <t>cifar 100</t>
  </si>
  <si>
    <t>intel scenes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</si>
</sst>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7" xfId="0" applyBorder="1"/>
    <xf numFmtId="0" fontId="0" fillId="0" borderId="20" xfId="0" applyFill="1" applyBorder="1" applyAlignment="1">
      <alignment horizont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9" fontId="0" fillId="0" borderId="25" xfId="1" applyFont="1" applyBorder="1" applyAlignment="1">
      <alignment horizontal="center"/>
    </xf>
    <xf numFmtId="0" fontId="0" fillId="0" borderId="26" xfId="0" applyBorder="1" applyAlignment="1">
      <alignment horizontal="center"/>
    </xf>
    <xf numFmtId="9" fontId="0" fillId="0" borderId="27" xfId="1" applyFont="1" applyBorder="1" applyAlignment="1">
      <alignment horizontal="center"/>
    </xf>
    <xf numFmtId="0" fontId="0" fillId="0" borderId="28" xfId="0" applyBorder="1" applyAlignment="1">
      <alignment horizontal="center"/>
    </xf>
    <xf numFmtId="9" fontId="0" fillId="0" borderId="29" xfId="1" applyFont="1" applyBorder="1" applyAlignment="1">
      <alignment horizontal="center"/>
    </xf>
    <xf numFmtId="9" fontId="0" fillId="0" borderId="30" xfId="1" applyFont="1" applyBorder="1" applyAlignment="1">
      <alignment horizontal="center"/>
    </xf>
    <xf numFmtId="9" fontId="0" fillId="0" borderId="31" xfId="1" applyFont="1" applyBorder="1" applyAlignment="1">
      <alignment horizontal="center"/>
    </xf>
    <xf numFmtId="0" fontId="0" fillId="0" borderId="32" xfId="0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13" xfId="1" applyFont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0" borderId="0" xfId="1" applyFont="1" applyAlignment="1">
      <alignment horizontal="center"/>
    </xf>
    <xf numFmtId="9" fontId="0" fillId="0" borderId="15" xfId="1" applyFont="1" applyBorder="1" applyAlignment="1">
      <alignment horizontal="center" vertical="center"/>
    </xf>
    <xf numFmtId="9" fontId="0" fillId="0" borderId="16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L1" workbookViewId="0">
      <selection activeCell="Q14" sqref="Q14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13.42578125" bestFit="1" customWidth="1"/>
    <col min="4" max="4" width="8" bestFit="1" customWidth="1"/>
    <col min="5" max="5" width="13.5703125" bestFit="1" customWidth="1"/>
    <col min="7" max="7" width="18.140625" style="1" customWidth="1"/>
    <col min="8" max="10" width="13.42578125" style="6" bestFit="1" customWidth="1"/>
    <col min="11" max="11" width="14.42578125" style="6" customWidth="1"/>
    <col min="13" max="13" width="19.140625" customWidth="1"/>
    <col min="14" max="14" width="24.28515625" customWidth="1"/>
    <col min="15" max="17" width="22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21</v>
      </c>
      <c r="H1" s="4" t="s">
        <v>22</v>
      </c>
      <c r="I1" s="4"/>
      <c r="J1" s="4" t="s">
        <v>23</v>
      </c>
      <c r="K1" s="5"/>
      <c r="M1" s="13"/>
      <c r="N1" s="14" t="s">
        <v>26</v>
      </c>
      <c r="O1" s="14"/>
      <c r="P1" s="14" t="s">
        <v>27</v>
      </c>
      <c r="Q1" s="15"/>
    </row>
    <row r="2" spans="1:17" ht="15.75" thickBot="1" x14ac:dyDescent="0.3">
      <c r="A2" t="s">
        <v>5</v>
      </c>
      <c r="B2" t="s">
        <v>6</v>
      </c>
      <c r="C2" t="s">
        <v>7</v>
      </c>
      <c r="D2" t="s">
        <v>1</v>
      </c>
      <c r="E2">
        <v>0.81030000000000002</v>
      </c>
      <c r="G2" s="3"/>
      <c r="H2" s="10" t="s">
        <v>8</v>
      </c>
      <c r="I2" s="10" t="s">
        <v>10</v>
      </c>
      <c r="J2" s="10" t="s">
        <v>8</v>
      </c>
      <c r="K2" s="11" t="s">
        <v>10</v>
      </c>
      <c r="M2" s="16" t="s">
        <v>21</v>
      </c>
      <c r="N2" s="12" t="s">
        <v>24</v>
      </c>
      <c r="O2" s="12" t="s">
        <v>25</v>
      </c>
      <c r="P2" s="12" t="s">
        <v>24</v>
      </c>
      <c r="Q2" s="17" t="s">
        <v>25</v>
      </c>
    </row>
    <row r="3" spans="1:17" x14ac:dyDescent="0.25">
      <c r="A3" t="s">
        <v>5</v>
      </c>
      <c r="B3" t="s">
        <v>6</v>
      </c>
      <c r="C3" t="s">
        <v>8</v>
      </c>
      <c r="D3" t="s">
        <v>9</v>
      </c>
      <c r="E3">
        <v>0.44219999999999998</v>
      </c>
      <c r="G3" s="8" t="s">
        <v>13</v>
      </c>
      <c r="H3" s="32">
        <f>E11</f>
        <v>0.79290000000000005</v>
      </c>
      <c r="I3" s="33"/>
      <c r="J3" s="32">
        <f>E41</f>
        <v>0.93600000000000005</v>
      </c>
      <c r="K3" s="33"/>
      <c r="M3" s="20" t="s">
        <v>13</v>
      </c>
      <c r="N3" s="21">
        <f>H4/H3</f>
        <v>0.55189809559843606</v>
      </c>
      <c r="O3" s="22">
        <f>I4/H3</f>
        <v>0.46008323874385165</v>
      </c>
      <c r="P3" s="21">
        <f>J4/J3</f>
        <v>0.83440170940170943</v>
      </c>
      <c r="Q3" s="23">
        <f>K4/J3</f>
        <v>0.81837606837606836</v>
      </c>
    </row>
    <row r="4" spans="1:17" x14ac:dyDescent="0.25">
      <c r="A4" t="s">
        <v>5</v>
      </c>
      <c r="B4" t="s">
        <v>6</v>
      </c>
      <c r="C4" t="s">
        <v>10</v>
      </c>
      <c r="D4" t="s">
        <v>9</v>
      </c>
      <c r="E4">
        <v>0.37880000000000003</v>
      </c>
      <c r="G4" s="9"/>
      <c r="H4" s="34">
        <f>E12</f>
        <v>0.43759999999999999</v>
      </c>
      <c r="I4" s="34">
        <f>E13</f>
        <v>0.36480000000000001</v>
      </c>
      <c r="J4" s="35">
        <f>E42</f>
        <v>0.78100000000000003</v>
      </c>
      <c r="K4" s="36">
        <f>E43</f>
        <v>0.76600000000000001</v>
      </c>
      <c r="M4" s="24" t="s">
        <v>12</v>
      </c>
      <c r="N4" s="18">
        <f>H6/H5</f>
        <v>0.54387489139878364</v>
      </c>
      <c r="O4" s="19">
        <f>I6/H5</f>
        <v>0.45103636589301233</v>
      </c>
      <c r="P4" s="18">
        <f>J6/J5</f>
        <v>0.8463749600766528</v>
      </c>
      <c r="Q4" s="25">
        <f>K6/J5</f>
        <v>0.81017779197274564</v>
      </c>
    </row>
    <row r="5" spans="1:17" x14ac:dyDescent="0.25">
      <c r="A5" t="s">
        <v>5</v>
      </c>
      <c r="B5" t="s">
        <v>11</v>
      </c>
      <c r="C5" t="s">
        <v>7</v>
      </c>
      <c r="D5" t="s">
        <v>1</v>
      </c>
      <c r="E5">
        <v>0.82030000000000003</v>
      </c>
      <c r="G5" s="7" t="s">
        <v>12</v>
      </c>
      <c r="H5" s="37">
        <f>E8</f>
        <v>0.80569999999999997</v>
      </c>
      <c r="I5" s="38"/>
      <c r="J5" s="37">
        <f>E38</f>
        <v>0.93930000000000002</v>
      </c>
      <c r="K5" s="38"/>
      <c r="M5" s="24" t="s">
        <v>6</v>
      </c>
      <c r="N5" s="18">
        <f>H8/H7</f>
        <v>0.54572380599777859</v>
      </c>
      <c r="O5" s="19">
        <f>I8/H7</f>
        <v>0.46748117980994697</v>
      </c>
      <c r="P5" s="18">
        <f>J8/J7</f>
        <v>0.84498026245599067</v>
      </c>
      <c r="Q5" s="25">
        <f>K8/J7</f>
        <v>0.80870585724954658</v>
      </c>
    </row>
    <row r="6" spans="1:17" ht="15.75" thickBot="1" x14ac:dyDescent="0.3">
      <c r="A6" t="s">
        <v>5</v>
      </c>
      <c r="B6" t="s">
        <v>11</v>
      </c>
      <c r="C6" t="s">
        <v>8</v>
      </c>
      <c r="D6" t="s">
        <v>9</v>
      </c>
      <c r="E6">
        <v>0.4607</v>
      </c>
      <c r="G6" s="9"/>
      <c r="H6" s="35">
        <f>E9</f>
        <v>0.43819999999999998</v>
      </c>
      <c r="I6" s="36">
        <f>E10</f>
        <v>0.3634</v>
      </c>
      <c r="J6" s="35">
        <f>E39</f>
        <v>0.79500000000000004</v>
      </c>
      <c r="K6" s="36">
        <f>E40</f>
        <v>0.76100000000000001</v>
      </c>
      <c r="M6" s="26" t="s">
        <v>11</v>
      </c>
      <c r="N6" s="27">
        <f>H10/H9</f>
        <v>0.56162379617213209</v>
      </c>
      <c r="O6" s="28">
        <f>I10/H9</f>
        <v>0.4940875289528221</v>
      </c>
      <c r="P6" s="27">
        <f>J10/J9</f>
        <v>0.85837780149413012</v>
      </c>
      <c r="Q6" s="29">
        <f>K10/J9</f>
        <v>0.84343649946638199</v>
      </c>
    </row>
    <row r="7" spans="1:17" x14ac:dyDescent="0.25">
      <c r="A7" t="s">
        <v>5</v>
      </c>
      <c r="B7" t="s">
        <v>11</v>
      </c>
      <c r="C7" t="s">
        <v>10</v>
      </c>
      <c r="D7" t="s">
        <v>9</v>
      </c>
      <c r="E7">
        <v>0.40529999999999999</v>
      </c>
      <c r="G7" s="7" t="s">
        <v>6</v>
      </c>
      <c r="H7" s="37">
        <f>E2</f>
        <v>0.81030000000000002</v>
      </c>
      <c r="I7" s="38"/>
      <c r="J7" s="37">
        <f>E32</f>
        <v>0.93730000000000002</v>
      </c>
      <c r="K7" s="38"/>
      <c r="M7" s="30" t="s">
        <v>15</v>
      </c>
      <c r="N7" s="21">
        <f>H12/H11</f>
        <v>0.89735156655703652</v>
      </c>
      <c r="O7" s="22">
        <f>I12/H11</f>
        <v>0.76441059373377185</v>
      </c>
      <c r="P7" s="21">
        <f>J12/J11</f>
        <v>0.91718904651930055</v>
      </c>
      <c r="Q7" s="23">
        <f>K12/J11</f>
        <v>0.89332453535686795</v>
      </c>
    </row>
    <row r="8" spans="1:17" x14ac:dyDescent="0.25">
      <c r="A8" t="s">
        <v>5</v>
      </c>
      <c r="B8" t="s">
        <v>12</v>
      </c>
      <c r="C8" t="s">
        <v>7</v>
      </c>
      <c r="D8" t="s">
        <v>1</v>
      </c>
      <c r="E8">
        <v>0.80569999999999997</v>
      </c>
      <c r="G8" s="9"/>
      <c r="H8" s="35">
        <f>E3</f>
        <v>0.44219999999999998</v>
      </c>
      <c r="I8" s="36">
        <f>E4</f>
        <v>0.37880000000000003</v>
      </c>
      <c r="J8" s="35">
        <f>E33</f>
        <v>0.79200000000000004</v>
      </c>
      <c r="K8" s="36">
        <f>E34</f>
        <v>0.75800000000000001</v>
      </c>
      <c r="M8" s="24" t="s">
        <v>16</v>
      </c>
      <c r="N8" s="18">
        <f>H14/H13</f>
        <v>0.82631215469613262</v>
      </c>
      <c r="O8" s="19">
        <f>I14/H13</f>
        <v>0.68283839779005517</v>
      </c>
      <c r="P8" s="18">
        <f>J14/J13</f>
        <v>0.88325991189427311</v>
      </c>
      <c r="Q8" s="25">
        <f>K14/J13</f>
        <v>0.83006607929515419</v>
      </c>
    </row>
    <row r="9" spans="1:17" ht="15.75" thickBot="1" x14ac:dyDescent="0.3">
      <c r="A9" t="s">
        <v>5</v>
      </c>
      <c r="B9" t="s">
        <v>12</v>
      </c>
      <c r="C9" t="s">
        <v>8</v>
      </c>
      <c r="D9" t="s">
        <v>9</v>
      </c>
      <c r="E9">
        <v>0.43819999999999998</v>
      </c>
      <c r="G9" s="7" t="s">
        <v>11</v>
      </c>
      <c r="H9" s="37">
        <f>E5</f>
        <v>0.82030000000000003</v>
      </c>
      <c r="I9" s="38"/>
      <c r="J9" s="37">
        <f>E35</f>
        <v>0.93700000000000006</v>
      </c>
      <c r="K9" s="38"/>
      <c r="M9" s="26" t="s">
        <v>14</v>
      </c>
      <c r="N9" s="27">
        <f>H16/H15</f>
        <v>0.74003189792663482</v>
      </c>
      <c r="O9" s="28">
        <f>I16/H15</f>
        <v>0.63875598086124408</v>
      </c>
      <c r="P9" s="27">
        <f>J16/J15</f>
        <v>0.87889463833535175</v>
      </c>
      <c r="Q9" s="29">
        <f>K16/J15</f>
        <v>0.8436639876692722</v>
      </c>
    </row>
    <row r="10" spans="1:17" x14ac:dyDescent="0.25">
      <c r="A10" t="s">
        <v>5</v>
      </c>
      <c r="B10" t="s">
        <v>12</v>
      </c>
      <c r="C10" t="s">
        <v>10</v>
      </c>
      <c r="D10" t="s">
        <v>9</v>
      </c>
      <c r="E10">
        <v>0.3634</v>
      </c>
      <c r="G10" s="9"/>
      <c r="H10" s="35">
        <f>E6</f>
        <v>0.4607</v>
      </c>
      <c r="I10" s="36">
        <f>E7</f>
        <v>0.40529999999999999</v>
      </c>
      <c r="J10" s="35">
        <f>E36</f>
        <v>0.80430000000000001</v>
      </c>
      <c r="K10" s="36">
        <f>E37</f>
        <v>0.7903</v>
      </c>
      <c r="M10" s="30" t="s">
        <v>17</v>
      </c>
      <c r="N10" s="21">
        <f>H18/H17</f>
        <v>0.69192406692406683</v>
      </c>
      <c r="O10" s="22">
        <f>I18/H17</f>
        <v>0.59942084942084939</v>
      </c>
      <c r="P10" s="21">
        <f>J18/J17</f>
        <v>0.72789708928376751</v>
      </c>
      <c r="Q10" s="23">
        <f>K18/J17</f>
        <v>0.75983865692794061</v>
      </c>
    </row>
    <row r="11" spans="1:17" x14ac:dyDescent="0.25">
      <c r="A11" t="s">
        <v>5</v>
      </c>
      <c r="B11" t="s">
        <v>13</v>
      </c>
      <c r="C11" t="s">
        <v>7</v>
      </c>
      <c r="D11" t="s">
        <v>1</v>
      </c>
      <c r="E11">
        <v>0.79290000000000005</v>
      </c>
      <c r="G11" s="7" t="s">
        <v>15</v>
      </c>
      <c r="H11" s="37">
        <f>E17</f>
        <v>0.57769999999999999</v>
      </c>
      <c r="I11" s="38"/>
      <c r="J11" s="37">
        <f>E47</f>
        <v>0.9093</v>
      </c>
      <c r="K11" s="38"/>
      <c r="M11" s="24" t="s">
        <v>18</v>
      </c>
      <c r="N11" s="18">
        <f>H20/H19</f>
        <v>0.73620047409414158</v>
      </c>
      <c r="O11" s="19">
        <f>I20/H19</f>
        <v>0.60887233322045375</v>
      </c>
      <c r="P11" s="18">
        <f>J20/J19</f>
        <v>0.75157336866512092</v>
      </c>
      <c r="Q11" s="25">
        <f>K20/J19</f>
        <v>0.7265098818593354</v>
      </c>
    </row>
    <row r="12" spans="1:17" ht="15.75" thickBot="1" x14ac:dyDescent="0.3">
      <c r="A12" t="s">
        <v>5</v>
      </c>
      <c r="B12" t="s">
        <v>13</v>
      </c>
      <c r="C12" t="s">
        <v>8</v>
      </c>
      <c r="D12" t="s">
        <v>9</v>
      </c>
      <c r="E12">
        <v>0.43759999999999999</v>
      </c>
      <c r="G12" s="9"/>
      <c r="H12" s="35">
        <f>E18</f>
        <v>0.51839999999999997</v>
      </c>
      <c r="I12" s="36">
        <f>E19</f>
        <v>0.44159999999999999</v>
      </c>
      <c r="J12" s="35">
        <f>E49</f>
        <v>0.83399999999999996</v>
      </c>
      <c r="K12" s="36">
        <f>E48</f>
        <v>0.81230000000000002</v>
      </c>
      <c r="M12" s="26" t="s">
        <v>19</v>
      </c>
      <c r="N12" s="31">
        <f>H22/H21</f>
        <v>0.75322187391152906</v>
      </c>
      <c r="O12" s="31">
        <f>I22/H21</f>
        <v>0.68164402647161271</v>
      </c>
      <c r="P12" s="27">
        <f>J22/J21</f>
        <v>0.86322552542742015</v>
      </c>
      <c r="Q12" s="29">
        <f>K22/J21</f>
        <v>0.84209953174343899</v>
      </c>
    </row>
    <row r="13" spans="1:17" x14ac:dyDescent="0.25">
      <c r="A13" t="s">
        <v>5</v>
      </c>
      <c r="B13" t="s">
        <v>13</v>
      </c>
      <c r="C13" t="s">
        <v>10</v>
      </c>
      <c r="D13" t="s">
        <v>9</v>
      </c>
      <c r="E13">
        <v>0.36480000000000001</v>
      </c>
      <c r="G13" s="7" t="s">
        <v>16</v>
      </c>
      <c r="H13" s="37">
        <f>E20</f>
        <v>0.57920000000000005</v>
      </c>
      <c r="I13" s="38"/>
      <c r="J13" s="37">
        <f>E50</f>
        <v>0.90800000000000003</v>
      </c>
      <c r="K13" s="38"/>
    </row>
    <row r="14" spans="1:17" x14ac:dyDescent="0.25">
      <c r="A14" t="s">
        <v>5</v>
      </c>
      <c r="B14" t="s">
        <v>14</v>
      </c>
      <c r="C14" t="s">
        <v>7</v>
      </c>
      <c r="D14" t="s">
        <v>1</v>
      </c>
      <c r="E14">
        <v>0.627</v>
      </c>
      <c r="G14" s="9"/>
      <c r="H14" s="35">
        <f>E21</f>
        <v>0.47860000000000003</v>
      </c>
      <c r="I14" s="36">
        <f>E22</f>
        <v>0.39550000000000002</v>
      </c>
      <c r="J14" s="35">
        <f>E51</f>
        <v>0.80200000000000005</v>
      </c>
      <c r="K14" s="36">
        <f>E52</f>
        <v>0.75370000000000004</v>
      </c>
    </row>
    <row r="15" spans="1:17" x14ac:dyDescent="0.25">
      <c r="A15" t="s">
        <v>5</v>
      </c>
      <c r="B15" t="s">
        <v>14</v>
      </c>
      <c r="C15" t="s">
        <v>8</v>
      </c>
      <c r="D15" t="s">
        <v>9</v>
      </c>
      <c r="E15">
        <v>0.46400000000000002</v>
      </c>
      <c r="G15" s="7" t="s">
        <v>14</v>
      </c>
      <c r="H15" s="37">
        <f>E14</f>
        <v>0.627</v>
      </c>
      <c r="I15" s="38"/>
      <c r="J15" s="37">
        <f>E44</f>
        <v>0.9083</v>
      </c>
      <c r="K15" s="38"/>
    </row>
    <row r="16" spans="1:17" x14ac:dyDescent="0.25">
      <c r="A16" t="s">
        <v>5</v>
      </c>
      <c r="B16" t="s">
        <v>14</v>
      </c>
      <c r="C16" t="s">
        <v>10</v>
      </c>
      <c r="D16" t="s">
        <v>9</v>
      </c>
      <c r="E16">
        <v>0.40050000000000002</v>
      </c>
      <c r="G16" s="9"/>
      <c r="H16" s="35">
        <f>E15</f>
        <v>0.46400000000000002</v>
      </c>
      <c r="I16" s="36">
        <f>E16</f>
        <v>0.40050000000000002</v>
      </c>
      <c r="J16" s="35">
        <f>E45</f>
        <v>0.79830000000000001</v>
      </c>
      <c r="K16" s="36">
        <f>E46</f>
        <v>0.76629999999999998</v>
      </c>
    </row>
    <row r="17" spans="1:11" x14ac:dyDescent="0.25">
      <c r="A17" t="s">
        <v>5</v>
      </c>
      <c r="B17" t="s">
        <v>15</v>
      </c>
      <c r="C17" t="s">
        <v>7</v>
      </c>
      <c r="D17" t="s">
        <v>1</v>
      </c>
      <c r="E17">
        <v>0.57769999999999999</v>
      </c>
      <c r="G17" s="7" t="s">
        <v>17</v>
      </c>
      <c r="H17" s="37">
        <f>E23</f>
        <v>0.62160000000000004</v>
      </c>
      <c r="I17" s="38"/>
      <c r="J17" s="37">
        <f>E53</f>
        <v>0.9173</v>
      </c>
      <c r="K17" s="38"/>
    </row>
    <row r="18" spans="1:11" x14ac:dyDescent="0.25">
      <c r="A18" t="s">
        <v>5</v>
      </c>
      <c r="B18" t="s">
        <v>15</v>
      </c>
      <c r="C18" t="s">
        <v>8</v>
      </c>
      <c r="D18" t="s">
        <v>9</v>
      </c>
      <c r="E18">
        <v>0.51839999999999997</v>
      </c>
      <c r="G18" s="9"/>
      <c r="H18" s="35">
        <f>E24</f>
        <v>0.43009999999999998</v>
      </c>
      <c r="I18" s="36">
        <f>E25</f>
        <v>0.37259999999999999</v>
      </c>
      <c r="J18" s="35">
        <f>E54</f>
        <v>0.66769999999999996</v>
      </c>
      <c r="K18" s="36">
        <f>E55</f>
        <v>0.69699999999999995</v>
      </c>
    </row>
    <row r="19" spans="1:11" x14ac:dyDescent="0.25">
      <c r="A19" t="s">
        <v>5</v>
      </c>
      <c r="B19" t="s">
        <v>15</v>
      </c>
      <c r="C19" t="s">
        <v>10</v>
      </c>
      <c r="D19" t="s">
        <v>9</v>
      </c>
      <c r="E19">
        <v>0.44159999999999999</v>
      </c>
      <c r="G19" s="7" t="s">
        <v>18</v>
      </c>
      <c r="H19" s="37">
        <f>E26</f>
        <v>0.59060000000000001</v>
      </c>
      <c r="I19" s="38"/>
      <c r="J19" s="37">
        <f>E56</f>
        <v>0.90569999999999995</v>
      </c>
      <c r="K19" s="38"/>
    </row>
    <row r="20" spans="1:11" x14ac:dyDescent="0.25">
      <c r="A20" t="s">
        <v>5</v>
      </c>
      <c r="B20" t="s">
        <v>16</v>
      </c>
      <c r="C20" t="s">
        <v>7</v>
      </c>
      <c r="D20" t="s">
        <v>1</v>
      </c>
      <c r="E20">
        <v>0.57920000000000005</v>
      </c>
      <c r="G20" s="9"/>
      <c r="H20" s="35">
        <f>E27</f>
        <v>0.43480000000000002</v>
      </c>
      <c r="I20" s="36">
        <f>E28</f>
        <v>0.35959999999999998</v>
      </c>
      <c r="J20" s="35">
        <f>E57</f>
        <v>0.68069999999999997</v>
      </c>
      <c r="K20" s="36">
        <f>E58</f>
        <v>0.65800000000000003</v>
      </c>
    </row>
    <row r="21" spans="1:11" x14ac:dyDescent="0.25">
      <c r="A21" t="s">
        <v>5</v>
      </c>
      <c r="B21" t="s">
        <v>16</v>
      </c>
      <c r="C21" t="s">
        <v>8</v>
      </c>
      <c r="D21" t="s">
        <v>9</v>
      </c>
      <c r="E21">
        <v>0.47860000000000003</v>
      </c>
      <c r="G21" s="8" t="s">
        <v>19</v>
      </c>
      <c r="H21" s="32">
        <f>E29</f>
        <v>0.57420000000000004</v>
      </c>
      <c r="I21" s="33"/>
      <c r="J21" s="32">
        <f>E59</f>
        <v>0.91830000000000001</v>
      </c>
      <c r="K21" s="33"/>
    </row>
    <row r="22" spans="1:11" x14ac:dyDescent="0.25">
      <c r="A22" t="s">
        <v>5</v>
      </c>
      <c r="B22" t="s">
        <v>16</v>
      </c>
      <c r="C22" t="s">
        <v>10</v>
      </c>
      <c r="D22" t="s">
        <v>9</v>
      </c>
      <c r="E22">
        <v>0.39550000000000002</v>
      </c>
      <c r="G22" s="9"/>
      <c r="H22" s="35">
        <f>E30</f>
        <v>0.4325</v>
      </c>
      <c r="I22" s="36">
        <f>E31</f>
        <v>0.39140000000000003</v>
      </c>
      <c r="J22" s="35">
        <f>E60</f>
        <v>0.79269999999999996</v>
      </c>
      <c r="K22" s="36">
        <f>E61</f>
        <v>0.77329999999999999</v>
      </c>
    </row>
    <row r="23" spans="1:11" x14ac:dyDescent="0.25">
      <c r="A23" t="s">
        <v>5</v>
      </c>
      <c r="B23" t="s">
        <v>17</v>
      </c>
      <c r="C23" t="s">
        <v>7</v>
      </c>
      <c r="D23" t="s">
        <v>1</v>
      </c>
      <c r="E23">
        <v>0.62160000000000004</v>
      </c>
    </row>
    <row r="24" spans="1:11" x14ac:dyDescent="0.25">
      <c r="A24" t="s">
        <v>5</v>
      </c>
      <c r="B24" t="s">
        <v>17</v>
      </c>
      <c r="C24" t="s">
        <v>8</v>
      </c>
      <c r="D24" t="s">
        <v>9</v>
      </c>
      <c r="E24">
        <v>0.43009999999999998</v>
      </c>
    </row>
    <row r="25" spans="1:11" x14ac:dyDescent="0.25">
      <c r="A25" t="s">
        <v>5</v>
      </c>
      <c r="B25" t="s">
        <v>17</v>
      </c>
      <c r="C25" t="s">
        <v>10</v>
      </c>
      <c r="D25" t="s">
        <v>9</v>
      </c>
      <c r="E25">
        <v>0.37259999999999999</v>
      </c>
    </row>
    <row r="26" spans="1:11" x14ac:dyDescent="0.25">
      <c r="A26" t="s">
        <v>5</v>
      </c>
      <c r="B26" t="s">
        <v>18</v>
      </c>
      <c r="C26" t="s">
        <v>7</v>
      </c>
      <c r="D26" t="s">
        <v>1</v>
      </c>
      <c r="E26">
        <v>0.59060000000000001</v>
      </c>
    </row>
    <row r="27" spans="1:11" x14ac:dyDescent="0.25">
      <c r="A27" t="s">
        <v>5</v>
      </c>
      <c r="B27" t="s">
        <v>18</v>
      </c>
      <c r="C27" t="s">
        <v>8</v>
      </c>
      <c r="D27" t="s">
        <v>9</v>
      </c>
      <c r="E27">
        <v>0.43480000000000002</v>
      </c>
    </row>
    <row r="28" spans="1:11" x14ac:dyDescent="0.25">
      <c r="A28" t="s">
        <v>5</v>
      </c>
      <c r="B28" t="s">
        <v>18</v>
      </c>
      <c r="C28" t="s">
        <v>10</v>
      </c>
      <c r="D28" t="s">
        <v>9</v>
      </c>
      <c r="E28">
        <v>0.35959999999999998</v>
      </c>
    </row>
    <row r="29" spans="1:11" x14ac:dyDescent="0.25">
      <c r="A29" t="s">
        <v>5</v>
      </c>
      <c r="B29" t="s">
        <v>19</v>
      </c>
      <c r="C29" t="s">
        <v>7</v>
      </c>
      <c r="D29" t="s">
        <v>1</v>
      </c>
      <c r="E29">
        <v>0.57420000000000004</v>
      </c>
    </row>
    <row r="30" spans="1:11" x14ac:dyDescent="0.25">
      <c r="A30" t="s">
        <v>5</v>
      </c>
      <c r="B30" t="s">
        <v>19</v>
      </c>
      <c r="C30" t="s">
        <v>8</v>
      </c>
      <c r="D30" t="s">
        <v>9</v>
      </c>
      <c r="E30">
        <v>0.4325</v>
      </c>
    </row>
    <row r="31" spans="1:11" x14ac:dyDescent="0.25">
      <c r="A31" t="s">
        <v>5</v>
      </c>
      <c r="B31" t="s">
        <v>19</v>
      </c>
      <c r="C31" t="s">
        <v>10</v>
      </c>
      <c r="D31" t="s">
        <v>9</v>
      </c>
      <c r="E31">
        <v>0.39140000000000003</v>
      </c>
    </row>
    <row r="32" spans="1:11" x14ac:dyDescent="0.25">
      <c r="A32" t="s">
        <v>20</v>
      </c>
      <c r="B32" t="s">
        <v>6</v>
      </c>
      <c r="C32" t="s">
        <v>7</v>
      </c>
      <c r="D32" t="s">
        <v>1</v>
      </c>
      <c r="E32">
        <v>0.93730000000000002</v>
      </c>
    </row>
    <row r="33" spans="1:5" x14ac:dyDescent="0.25">
      <c r="A33" t="s">
        <v>20</v>
      </c>
      <c r="B33" t="s">
        <v>6</v>
      </c>
      <c r="C33" t="s">
        <v>8</v>
      </c>
      <c r="D33" t="s">
        <v>9</v>
      </c>
      <c r="E33">
        <v>0.79200000000000004</v>
      </c>
    </row>
    <row r="34" spans="1:5" x14ac:dyDescent="0.25">
      <c r="A34" t="s">
        <v>20</v>
      </c>
      <c r="B34" t="s">
        <v>6</v>
      </c>
      <c r="C34" t="s">
        <v>10</v>
      </c>
      <c r="D34" t="s">
        <v>9</v>
      </c>
      <c r="E34">
        <v>0.75800000000000001</v>
      </c>
    </row>
    <row r="35" spans="1:5" x14ac:dyDescent="0.25">
      <c r="A35" t="s">
        <v>20</v>
      </c>
      <c r="B35" t="s">
        <v>11</v>
      </c>
      <c r="C35" t="s">
        <v>7</v>
      </c>
      <c r="D35" t="s">
        <v>1</v>
      </c>
      <c r="E35">
        <v>0.93700000000000006</v>
      </c>
    </row>
    <row r="36" spans="1:5" x14ac:dyDescent="0.25">
      <c r="A36" t="s">
        <v>20</v>
      </c>
      <c r="B36" t="s">
        <v>11</v>
      </c>
      <c r="C36" t="s">
        <v>8</v>
      </c>
      <c r="D36" t="s">
        <v>9</v>
      </c>
      <c r="E36">
        <v>0.80430000000000001</v>
      </c>
    </row>
    <row r="37" spans="1:5" x14ac:dyDescent="0.25">
      <c r="A37" t="s">
        <v>20</v>
      </c>
      <c r="B37" t="s">
        <v>11</v>
      </c>
      <c r="C37" t="s">
        <v>10</v>
      </c>
      <c r="D37" t="s">
        <v>9</v>
      </c>
      <c r="E37">
        <v>0.7903</v>
      </c>
    </row>
    <row r="38" spans="1:5" x14ac:dyDescent="0.25">
      <c r="A38" t="s">
        <v>20</v>
      </c>
      <c r="B38" t="s">
        <v>12</v>
      </c>
      <c r="C38" t="s">
        <v>7</v>
      </c>
      <c r="D38" t="s">
        <v>1</v>
      </c>
      <c r="E38">
        <v>0.93930000000000002</v>
      </c>
    </row>
    <row r="39" spans="1:5" x14ac:dyDescent="0.25">
      <c r="A39" t="s">
        <v>20</v>
      </c>
      <c r="B39" t="s">
        <v>12</v>
      </c>
      <c r="C39" t="s">
        <v>8</v>
      </c>
      <c r="D39" t="s">
        <v>9</v>
      </c>
      <c r="E39">
        <v>0.79500000000000004</v>
      </c>
    </row>
    <row r="40" spans="1:5" x14ac:dyDescent="0.25">
      <c r="A40" t="s">
        <v>20</v>
      </c>
      <c r="B40" t="s">
        <v>12</v>
      </c>
      <c r="C40" t="s">
        <v>10</v>
      </c>
      <c r="D40" t="s">
        <v>9</v>
      </c>
      <c r="E40">
        <v>0.76100000000000001</v>
      </c>
    </row>
    <row r="41" spans="1:5" x14ac:dyDescent="0.25">
      <c r="A41" t="s">
        <v>20</v>
      </c>
      <c r="B41" t="s">
        <v>13</v>
      </c>
      <c r="C41" t="s">
        <v>7</v>
      </c>
      <c r="D41" t="s">
        <v>1</v>
      </c>
      <c r="E41">
        <v>0.93600000000000005</v>
      </c>
    </row>
    <row r="42" spans="1:5" x14ac:dyDescent="0.25">
      <c r="A42" t="s">
        <v>20</v>
      </c>
      <c r="B42" t="s">
        <v>13</v>
      </c>
      <c r="C42" t="s">
        <v>8</v>
      </c>
      <c r="D42" t="s">
        <v>9</v>
      </c>
      <c r="E42">
        <v>0.78100000000000003</v>
      </c>
    </row>
    <row r="43" spans="1:5" x14ac:dyDescent="0.25">
      <c r="A43" t="s">
        <v>20</v>
      </c>
      <c r="B43" t="s">
        <v>13</v>
      </c>
      <c r="C43" t="s">
        <v>10</v>
      </c>
      <c r="D43" t="s">
        <v>9</v>
      </c>
      <c r="E43">
        <v>0.76600000000000001</v>
      </c>
    </row>
    <row r="44" spans="1:5" x14ac:dyDescent="0.25">
      <c r="A44" t="s">
        <v>20</v>
      </c>
      <c r="B44" t="s">
        <v>14</v>
      </c>
      <c r="C44" t="s">
        <v>7</v>
      </c>
      <c r="D44" t="s">
        <v>1</v>
      </c>
      <c r="E44">
        <v>0.9083</v>
      </c>
    </row>
    <row r="45" spans="1:5" x14ac:dyDescent="0.25">
      <c r="A45" t="s">
        <v>20</v>
      </c>
      <c r="B45" t="s">
        <v>14</v>
      </c>
      <c r="C45" t="s">
        <v>8</v>
      </c>
      <c r="D45" t="s">
        <v>9</v>
      </c>
      <c r="E45">
        <v>0.79830000000000001</v>
      </c>
    </row>
    <row r="46" spans="1:5" x14ac:dyDescent="0.25">
      <c r="A46" t="s">
        <v>20</v>
      </c>
      <c r="B46" t="s">
        <v>14</v>
      </c>
      <c r="C46" t="s">
        <v>10</v>
      </c>
      <c r="D46" t="s">
        <v>9</v>
      </c>
      <c r="E46">
        <v>0.76629999999999998</v>
      </c>
    </row>
    <row r="47" spans="1:5" x14ac:dyDescent="0.25">
      <c r="A47" t="s">
        <v>20</v>
      </c>
      <c r="B47" t="s">
        <v>15</v>
      </c>
      <c r="C47" t="s">
        <v>7</v>
      </c>
      <c r="D47" t="s">
        <v>1</v>
      </c>
      <c r="E47">
        <v>0.9093</v>
      </c>
    </row>
    <row r="48" spans="1:5" x14ac:dyDescent="0.25">
      <c r="A48" t="s">
        <v>20</v>
      </c>
      <c r="B48" t="s">
        <v>15</v>
      </c>
      <c r="C48" t="s">
        <v>10</v>
      </c>
      <c r="D48" t="s">
        <v>9</v>
      </c>
      <c r="E48">
        <v>0.81230000000000002</v>
      </c>
    </row>
    <row r="49" spans="1:5" x14ac:dyDescent="0.25">
      <c r="A49" t="s">
        <v>20</v>
      </c>
      <c r="B49" t="s">
        <v>15</v>
      </c>
      <c r="C49" t="s">
        <v>8</v>
      </c>
      <c r="D49" t="s">
        <v>9</v>
      </c>
      <c r="E49">
        <v>0.83399999999999996</v>
      </c>
    </row>
    <row r="50" spans="1:5" x14ac:dyDescent="0.25">
      <c r="A50" t="s">
        <v>20</v>
      </c>
      <c r="B50" t="s">
        <v>16</v>
      </c>
      <c r="C50" t="s">
        <v>7</v>
      </c>
      <c r="D50" t="s">
        <v>1</v>
      </c>
      <c r="E50">
        <v>0.90800000000000003</v>
      </c>
    </row>
    <row r="51" spans="1:5" x14ac:dyDescent="0.25">
      <c r="A51" t="s">
        <v>20</v>
      </c>
      <c r="B51" t="s">
        <v>16</v>
      </c>
      <c r="C51" t="s">
        <v>8</v>
      </c>
      <c r="D51" t="s">
        <v>9</v>
      </c>
      <c r="E51">
        <v>0.80200000000000005</v>
      </c>
    </row>
    <row r="52" spans="1:5" x14ac:dyDescent="0.25">
      <c r="A52" t="s">
        <v>20</v>
      </c>
      <c r="B52" t="s">
        <v>16</v>
      </c>
      <c r="C52" t="s">
        <v>10</v>
      </c>
      <c r="D52" t="s">
        <v>9</v>
      </c>
      <c r="E52">
        <v>0.75370000000000004</v>
      </c>
    </row>
    <row r="53" spans="1:5" x14ac:dyDescent="0.25">
      <c r="A53" t="s">
        <v>20</v>
      </c>
      <c r="B53" t="s">
        <v>17</v>
      </c>
      <c r="C53" t="s">
        <v>7</v>
      </c>
      <c r="D53" t="s">
        <v>1</v>
      </c>
      <c r="E53">
        <v>0.9173</v>
      </c>
    </row>
    <row r="54" spans="1:5" x14ac:dyDescent="0.25">
      <c r="A54" t="s">
        <v>20</v>
      </c>
      <c r="B54" t="s">
        <v>17</v>
      </c>
      <c r="C54" t="s">
        <v>8</v>
      </c>
      <c r="D54" t="s">
        <v>9</v>
      </c>
      <c r="E54">
        <v>0.66769999999999996</v>
      </c>
    </row>
    <row r="55" spans="1:5" x14ac:dyDescent="0.25">
      <c r="A55" t="s">
        <v>20</v>
      </c>
      <c r="B55" t="s">
        <v>17</v>
      </c>
      <c r="C55" t="s">
        <v>10</v>
      </c>
      <c r="D55" t="s">
        <v>9</v>
      </c>
      <c r="E55">
        <v>0.69699999999999995</v>
      </c>
    </row>
    <row r="56" spans="1:5" x14ac:dyDescent="0.25">
      <c r="A56" t="s">
        <v>20</v>
      </c>
      <c r="B56" t="s">
        <v>18</v>
      </c>
      <c r="C56" t="s">
        <v>7</v>
      </c>
      <c r="D56" t="s">
        <v>1</v>
      </c>
      <c r="E56">
        <v>0.90569999999999995</v>
      </c>
    </row>
    <row r="57" spans="1:5" x14ac:dyDescent="0.25">
      <c r="A57" t="s">
        <v>20</v>
      </c>
      <c r="B57" t="s">
        <v>18</v>
      </c>
      <c r="C57" t="s">
        <v>8</v>
      </c>
      <c r="D57" t="s">
        <v>9</v>
      </c>
      <c r="E57">
        <v>0.68069999999999997</v>
      </c>
    </row>
    <row r="58" spans="1:5" x14ac:dyDescent="0.25">
      <c r="A58" t="s">
        <v>20</v>
      </c>
      <c r="B58" t="s">
        <v>18</v>
      </c>
      <c r="C58" t="s">
        <v>10</v>
      </c>
      <c r="D58" t="s">
        <v>9</v>
      </c>
      <c r="E58">
        <v>0.65800000000000003</v>
      </c>
    </row>
    <row r="59" spans="1:5" x14ac:dyDescent="0.25">
      <c r="A59" t="s">
        <v>20</v>
      </c>
      <c r="B59" t="s">
        <v>19</v>
      </c>
      <c r="C59" t="s">
        <v>7</v>
      </c>
      <c r="D59" t="s">
        <v>1</v>
      </c>
      <c r="E59">
        <v>0.91830000000000001</v>
      </c>
    </row>
    <row r="60" spans="1:5" x14ac:dyDescent="0.25">
      <c r="A60" t="s">
        <v>20</v>
      </c>
      <c r="B60" t="s">
        <v>19</v>
      </c>
      <c r="C60" t="s">
        <v>8</v>
      </c>
      <c r="D60" t="s">
        <v>9</v>
      </c>
      <c r="E60">
        <v>0.79269999999999996</v>
      </c>
    </row>
    <row r="61" spans="1:5" x14ac:dyDescent="0.25">
      <c r="A61" t="s">
        <v>20</v>
      </c>
      <c r="B61" t="s">
        <v>19</v>
      </c>
      <c r="C61" t="s">
        <v>10</v>
      </c>
      <c r="D61" t="s">
        <v>9</v>
      </c>
      <c r="E61">
        <v>0.77329999999999999</v>
      </c>
    </row>
  </sheetData>
  <mergeCells count="35">
    <mergeCell ref="N1:O1"/>
    <mergeCell ref="P1:Q1"/>
    <mergeCell ref="J19:K19"/>
    <mergeCell ref="J21:K21"/>
    <mergeCell ref="H13:I13"/>
    <mergeCell ref="H15:I15"/>
    <mergeCell ref="H17:I17"/>
    <mergeCell ref="H19:I19"/>
    <mergeCell ref="H21:I21"/>
    <mergeCell ref="J11:K11"/>
    <mergeCell ref="J13:K13"/>
    <mergeCell ref="J15:K15"/>
    <mergeCell ref="J17:K17"/>
    <mergeCell ref="G19:G20"/>
    <mergeCell ref="G21:G22"/>
    <mergeCell ref="H3:I3"/>
    <mergeCell ref="H5:I5"/>
    <mergeCell ref="H7:I7"/>
    <mergeCell ref="H9:I9"/>
    <mergeCell ref="H11:I11"/>
    <mergeCell ref="H1:I1"/>
    <mergeCell ref="J1:K1"/>
    <mergeCell ref="G3:G4"/>
    <mergeCell ref="G5:G6"/>
    <mergeCell ref="G7:G8"/>
    <mergeCell ref="G9:G10"/>
    <mergeCell ref="J3:K3"/>
    <mergeCell ref="J5:K5"/>
    <mergeCell ref="J7:K7"/>
    <mergeCell ref="J9:K9"/>
    <mergeCell ref="G1:G2"/>
    <mergeCell ref="G11:G12"/>
    <mergeCell ref="G13:G14"/>
    <mergeCell ref="G15:G16"/>
    <mergeCell ref="G17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Agricola</cp:lastModifiedBy>
  <dcterms:created xsi:type="dcterms:W3CDTF">2026-07-05T02:06:23Z</dcterms:created>
  <dcterms:modified xsi:type="dcterms:W3CDTF">2026-07-06T03:48:29Z</dcterms:modified>
</cp:coreProperties>
</file>